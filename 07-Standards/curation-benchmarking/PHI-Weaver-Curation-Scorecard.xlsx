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Scorecar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2E5B62"/>
      <sz val="11"/>
    </font>
    <font>
      <name val="Calibri"/>
      <color rgb="001F2A33"/>
      <sz val="11"/>
    </font>
    <font>
      <name val="Calibri"/>
      <color rgb="001F2A33"/>
      <sz val="10"/>
    </font>
    <font>
      <name val="Calibri"/>
      <b val="1"/>
      <color rgb="001F2A33"/>
      <sz val="11"/>
    </font>
    <font>
      <name val="Calibri"/>
      <b val="1"/>
      <color rgb="00FFFFFF"/>
      <sz val="11"/>
    </font>
    <font>
      <name val="Calibri"/>
      <color rgb="0055636B"/>
      <sz val="10"/>
    </font>
    <font>
      <name val="Calibri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2E5B62"/>
      </patternFill>
    </fill>
    <fill>
      <patternFill patternType="solid">
        <fgColor rgb="00EAF0F0"/>
      </patternFill>
    </fill>
    <fill>
      <patternFill patternType="solid">
        <fgColor rgb="00F4F1EA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9C4C4"/>
      </left>
      <right style="thin">
        <color rgb="00B9C4C4"/>
      </right>
      <top style="thin">
        <color rgb="00B9C4C4"/>
      </top>
      <bottom style="thin">
        <color rgb="00B9C4C4"/>
      </bottom>
    </border>
    <border>
      <left/>
      <right/>
      <top style="thin">
        <color rgb="00B9C4C4"/>
      </top>
      <bottom/>
      <diagonal/>
    </border>
    <border>
      <left/>
      <right style="thin">
        <color rgb="00B9C4C4"/>
      </right>
      <top style="thin">
        <color rgb="00B9C4C4"/>
      </top>
      <bottom/>
      <diagonal/>
    </border>
    <border>
      <left/>
      <right/>
      <top style="thin">
        <color rgb="00B9C4C4"/>
      </top>
      <bottom style="thin">
        <color rgb="00B9C4C4"/>
      </bottom>
      <diagonal/>
    </border>
    <border>
      <left/>
      <right style="thin">
        <color rgb="00B9C4C4"/>
      </right>
      <top style="thin">
        <color rgb="00B9C4C4"/>
      </top>
      <bottom style="thin">
        <color rgb="00B9C4C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9" fontId="5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0" fillId="4" borderId="1" pivotButton="0" quotePrefix="0" xfId="0"/>
    <xf numFmtId="9" fontId="5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0" fillId="3" borderId="1" pivotButton="0" quotePrefix="0" xfId="0"/>
    <xf numFmtId="9" fontId="0" fillId="3" borderId="1" pivotButton="0" quotePrefix="0" xfId="0"/>
    <xf numFmtId="9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4">
    <dxf>
      <fill>
        <patternFill patternType="solid">
          <fgColor rgb="00C9E5CB"/>
        </patternFill>
      </fill>
    </dxf>
    <dxf>
      <fill>
        <patternFill patternType="solid">
          <fgColor rgb="00F5E4B8"/>
        </patternFill>
      </fill>
    </dxf>
    <dxf>
      <fill>
        <patternFill patternType="solid">
          <fgColor rgb="00F3CBC6"/>
        </patternFill>
      </fill>
    </dxf>
    <dxf>
      <fill>
        <patternFill patternType="solid">
          <fgColor rgb="00E2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6" customHeight="1">
      <c r="A1" s="1" t="inlineStr">
        <is>
          <t>PHI-Canto Curation Scorecard — Guide</t>
        </is>
      </c>
    </row>
    <row r="3" ht="45" customHeight="1">
      <c r="A3" s="2" t="inlineStr">
        <is>
          <t>Purpose</t>
        </is>
      </c>
      <c r="B3" s="3" t="inlineStr">
        <is>
          <t>Benchmark the quality of a curation, item by item. Designed so phiweaver pre-fills the machine-checkable parts (ID validity, ontology-term existence) and a human curator reviews the judgement calls and completeness.</t>
        </is>
      </c>
    </row>
    <row r="5" ht="45" customHeight="1">
      <c r="A5" s="2" t="inlineStr">
        <is>
          <t>Who scores what</t>
        </is>
      </c>
      <c r="B5" s="3" t="inlineStr">
        <is>
          <t>phiweaver auto-check column: filled automatically — does the identifier/term actually exist and is it current (UniProtKB via query_uniprot; GO/PHIPO via validate_ontology_ids). Reviewer rating column: the human decides whether the choice is correct/appropriate.</t>
        </is>
      </c>
    </row>
    <row r="7" ht="90" customHeight="1">
      <c r="A7" s="2" t="inlineStr">
        <is>
          <t>Reviewer rating</t>
        </is>
      </c>
      <c r="B7" s="3" t="inlineStr">
        <is>
          <t>Correct — matches the gold standard, ready to submit.
Needs improvement — right idea, minor fix (e.g. a less-specific term than ideal).
Incorrect — wrong ID, wrong term, or wrong classification.
Not applicable — this item is not present in the paper.</t>
        </is>
      </c>
    </row>
    <row r="9" ht="30" customHeight="1">
      <c r="A9" s="2" t="inlineStr">
        <is>
          <t>Scoring</t>
        </is>
      </c>
      <c r="B9" s="3" t="inlineStr">
        <is>
          <t>Correct = 1 point, Needs improvement = 0.5, Incorrect = 0. Not applicable is excluded. Overall accuracy = total points / applicable items (computed automatically on the Scorecard).</t>
        </is>
      </c>
    </row>
    <row r="11" ht="45" customHeight="1">
      <c r="A11" s="2" t="inlineStr">
        <is>
          <t>Completeness</t>
        </is>
      </c>
      <c r="B11" s="3" t="inlineStr">
        <is>
          <t>Correctness alone is not enough: also record how many curatable items the paper contained vs how many were captured. A draft that is accurate but misses half the annotations is not a good draft. Completeness % is computed on the Scorecard.</t>
        </is>
      </c>
    </row>
    <row r="13" ht="60" customHeight="1">
      <c r="A13" s="2" t="inlineStr">
        <is>
          <t>How to use</t>
        </is>
      </c>
      <c r="B13" s="3" t="inlineStr">
        <is>
          <t>1. Copy the 'Scorecard' sheet for each paper (right-click tab &gt; Move or Copy &gt; tick 'Create a copy'). 2. Fill the header (PMID, date, reviewer). 3. phiweaver fills the auto-check column; you fill each Reviewer rating from the dropdown and add a comment for anything not 'Correct'. 4. Copy the paper's overall score + completeness into the 'Summary' sheet to track over time.</t>
        </is>
      </c>
    </row>
    <row r="15" ht="30" customHeight="1">
      <c r="A15" s="2" t="inlineStr">
        <is>
          <t>Note</t>
        </is>
      </c>
      <c r="B15" s="3" t="inlineStr">
        <is>
          <t>A curation scored all-Correct with full completeness is, by definition, a validated gold-standard example — add it to 07-Standards/curation-examples/.</t>
        </is>
      </c>
    </row>
    <row r="16">
      <c r="A16" t="inlineStr">
        <is>
          <t>Model</t>
        </is>
      </c>
      <c r="B16" t="inlineStr">
        <is>
          <t>Model row (header): the LLM/curator that produced the draft, e.g. "Fable 5". Part of what the benchmark measures — keep it constant across a run and record it. fill_scorecard.py fills it from the draft; scorecards_to_csv.py carries it into the report provenance.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40" customWidth="1" min="3" max="3"/>
    <col width="20" customWidth="1" min="4" max="4"/>
    <col width="9" customWidth="1" min="5" max="5"/>
    <col width="44" customWidth="1" min="6" max="6"/>
  </cols>
  <sheetData>
    <row r="1" ht="26" customHeight="1">
      <c r="A1" s="1" t="inlineStr">
        <is>
          <t>PHI-Canto Curation Scorecard</t>
        </is>
      </c>
    </row>
    <row r="2">
      <c r="A2" s="4" t="inlineStr">
        <is>
          <t>phiweaver draft, human-reviewed. See the Guide sheet for the rubric and scoring.</t>
        </is>
      </c>
    </row>
    <row r="4">
      <c r="A4" s="5" t="inlineStr">
        <is>
          <t>Date</t>
        </is>
      </c>
      <c r="B4" s="6" t="inlineStr"/>
      <c r="C4" s="27" t="n"/>
      <c r="D4" s="27" t="n"/>
      <c r="E4" s="27" t="n"/>
      <c r="F4" s="28" t="n"/>
    </row>
    <row r="5">
      <c r="A5" s="5" t="inlineStr">
        <is>
          <t>PMID</t>
        </is>
      </c>
      <c r="B5" s="6" t="inlineStr"/>
      <c r="C5" s="27" t="n"/>
      <c r="D5" s="27" t="n"/>
      <c r="E5" s="27" t="n"/>
      <c r="F5" s="28" t="n"/>
    </row>
    <row r="6">
      <c r="A6" s="5" t="inlineStr">
        <is>
          <t>Paper title</t>
        </is>
      </c>
      <c r="B6" s="6" t="inlineStr"/>
      <c r="C6" s="27" t="n"/>
      <c r="D6" s="27" t="n"/>
      <c r="E6" s="27" t="n"/>
      <c r="F6" s="28" t="n"/>
    </row>
    <row r="7">
      <c r="A7" s="5" t="inlineStr">
        <is>
          <t>Pathogen / host</t>
        </is>
      </c>
      <c r="B7" s="6" t="inlineStr"/>
      <c r="C7" s="27" t="n"/>
      <c r="D7" s="27" t="n"/>
      <c r="E7" s="27" t="n"/>
      <c r="F7" s="28" t="n"/>
    </row>
    <row r="8">
      <c r="A8" s="5" t="inlineStr">
        <is>
          <t>Draft produced by</t>
        </is>
      </c>
      <c r="B8" s="6" t="inlineStr"/>
      <c r="C8" s="27" t="n"/>
      <c r="D8" s="27" t="n"/>
      <c r="E8" s="27" t="n"/>
      <c r="F8" s="28" t="n"/>
    </row>
    <row r="9">
      <c r="A9" s="5" t="inlineStr">
        <is>
          <t>Model</t>
        </is>
      </c>
      <c r="B9" s="6" t="inlineStr"/>
      <c r="C9" s="27" t="n"/>
      <c r="D9" s="27" t="n"/>
      <c r="E9" s="27" t="n"/>
      <c r="F9" s="28" t="n"/>
    </row>
    <row r="10">
      <c r="A10" s="5" t="inlineStr">
        <is>
          <t>Reviewer (2nd curator)</t>
        </is>
      </c>
      <c r="B10" s="6" t="n"/>
      <c r="C10" s="27" t="n"/>
      <c r="D10" s="27" t="n"/>
      <c r="E10" s="27" t="n"/>
      <c r="F10" s="28" t="n"/>
    </row>
    <row r="11" ht="30" customHeight="1">
      <c r="A11" s="8" t="inlineStr">
        <is>
          <t>Annotation level</t>
        </is>
      </c>
      <c r="B11" s="8" t="inlineStr">
        <is>
          <t>Item</t>
        </is>
      </c>
      <c r="C11" s="8" t="inlineStr">
        <is>
          <t>phiweaver auto-check</t>
        </is>
      </c>
      <c r="D11" s="8" t="inlineStr">
        <is>
          <t>Reviewer rating</t>
        </is>
      </c>
      <c r="E11" s="8" t="inlineStr">
        <is>
          <t>Points</t>
        </is>
      </c>
      <c r="F11" s="8" t="inlineStr">
        <is>
          <t>Comment</t>
        </is>
      </c>
    </row>
    <row r="12" ht="26" customHeight="1">
      <c r="A12" s="6" t="inlineStr">
        <is>
          <t>Entity</t>
        </is>
      </c>
      <c r="B12" s="9" t="inlineStr">
        <is>
          <t>UniProtKB ID correctness</t>
        </is>
      </c>
      <c r="C12" s="10" t="inlineStr">
        <is>
          <t>auto: format valid + accession exists</t>
        </is>
      </c>
      <c r="D12" s="11" t="inlineStr"/>
      <c r="E12" s="12">
        <f>IF($D12="Correct",1,IF($D12="Needs improvement",0.5,IF($D12="Incorrect",0,"")))</f>
        <v/>
      </c>
      <c r="F12" s="9" t="inlineStr"/>
    </row>
    <row r="13" ht="26" customHeight="1">
      <c r="A13" s="13" t="inlineStr">
        <is>
          <t>Entity</t>
        </is>
      </c>
      <c r="B13" s="14" t="inlineStr">
        <is>
          <t>Species / strain / cultivar correctness</t>
        </is>
      </c>
      <c r="C13" s="15" t="inlineStr">
        <is>
          <t>— human judgement</t>
        </is>
      </c>
      <c r="D13" s="11" t="inlineStr"/>
      <c r="E13" s="12">
        <f>IF($D13="Correct",1,IF($D13="Needs improvement",0.5,IF($D13="Incorrect",0,"")))</f>
        <v/>
      </c>
      <c r="F13" s="9" t="inlineStr"/>
    </row>
    <row r="14" ht="26" customHeight="1">
      <c r="A14" s="6" t="inlineStr">
        <is>
          <t>Gene</t>
        </is>
      </c>
      <c r="B14" s="9" t="inlineStr">
        <is>
          <t>GO / gene annotation correctness</t>
        </is>
      </c>
      <c r="C14" s="10" t="inlineStr">
        <is>
          <t>auto: GO term exists + current</t>
        </is>
      </c>
      <c r="D14" s="11" t="inlineStr"/>
      <c r="E14" s="12">
        <f>IF($D14="Correct",1,IF($D14="Needs improvement",0.5,IF($D14="Incorrect",0,"")))</f>
        <v/>
      </c>
      <c r="F14" s="9" t="inlineStr"/>
    </row>
    <row r="15" ht="26" customHeight="1">
      <c r="A15" s="13" t="inlineStr">
        <is>
          <t>Genotype</t>
        </is>
      </c>
      <c r="B15" s="14" t="inlineStr">
        <is>
          <t>Genotype correctness (allele type + expression level)</t>
        </is>
      </c>
      <c r="C15" s="15" t="inlineStr">
        <is>
          <t>— human judgement</t>
        </is>
      </c>
      <c r="D15" s="11" t="inlineStr"/>
      <c r="E15" s="12">
        <f>IF($D15="Correct",1,IF($D15="Needs improvement",0.5,IF($D15="Incorrect",0,"")))</f>
        <v/>
      </c>
      <c r="F15" s="9" t="inlineStr"/>
    </row>
    <row r="16" ht="26" customHeight="1">
      <c r="A16" s="6" t="inlineStr">
        <is>
          <t>Genotype</t>
        </is>
      </c>
      <c r="B16" s="9" t="inlineStr">
        <is>
          <t>Metagenotype &amp; control correctness</t>
        </is>
      </c>
      <c r="C16" s="10" t="inlineStr">
        <is>
          <t>— human judgement</t>
        </is>
      </c>
      <c r="D16" s="11" t="inlineStr"/>
      <c r="E16" s="12">
        <f>IF($D16="Correct",1,IF($D16="Needs improvement",0.5,IF($D16="Incorrect",0,"")))</f>
        <v/>
      </c>
      <c r="F16" s="9" t="inlineStr"/>
    </row>
    <row r="17" ht="26" customHeight="1">
      <c r="A17" s="13" t="inlineStr">
        <is>
          <t>Phenotype</t>
        </is>
      </c>
      <c r="B17" s="14" t="inlineStr">
        <is>
          <t>Pathogen phenotype correctness</t>
        </is>
      </c>
      <c r="C17" s="15" t="inlineStr">
        <is>
          <t>auto: PHIPO term exists + current</t>
        </is>
      </c>
      <c r="D17" s="11" t="inlineStr"/>
      <c r="E17" s="12">
        <f>IF($D17="Correct",1,IF($D17="Needs improvement",0.5,IF($D17="Incorrect",0,"")))</f>
        <v/>
      </c>
      <c r="F17" s="9" t="inlineStr"/>
    </row>
    <row r="18" ht="26" customHeight="1">
      <c r="A18" s="6" t="inlineStr">
        <is>
          <t>Phenotype</t>
        </is>
      </c>
      <c r="B18" s="9" t="inlineStr">
        <is>
          <t>Host phenotype correctness</t>
        </is>
      </c>
      <c r="C18" s="10" t="inlineStr">
        <is>
          <t>auto: PHIPO term exists + current</t>
        </is>
      </c>
      <c r="D18" s="11" t="inlineStr"/>
      <c r="E18" s="12">
        <f>IF($D18="Correct",1,IF($D18="Needs improvement",0.5,IF($D18="Incorrect",0,"")))</f>
        <v/>
      </c>
      <c r="F18" s="9" t="inlineStr"/>
    </row>
    <row r="19" ht="26" customHeight="1">
      <c r="A19" s="13" t="inlineStr">
        <is>
          <t>Phenotype</t>
        </is>
      </c>
      <c r="B19" s="14" t="inlineStr">
        <is>
          <t>Pathogen–host interaction phenotype correctness</t>
        </is>
      </c>
      <c r="C19" s="15" t="inlineStr">
        <is>
          <t>auto: PHIPO term exists + current</t>
        </is>
      </c>
      <c r="D19" s="11" t="inlineStr"/>
      <c r="E19" s="12">
        <f>IF($D19="Correct",1,IF($D19="Needs improvement",0.5,IF($D19="Incorrect",0,"")))</f>
        <v/>
      </c>
      <c r="F19" s="9" t="inlineStr"/>
    </row>
    <row r="20" ht="26" customHeight="1">
      <c r="A20" s="6" t="inlineStr">
        <is>
          <t>Detail</t>
        </is>
      </c>
      <c r="B20" s="9" t="inlineStr">
        <is>
          <t>Evidence code correctness</t>
        </is>
      </c>
      <c r="C20" s="10" t="inlineStr">
        <is>
          <t>— human judgement</t>
        </is>
      </c>
      <c r="D20" s="11" t="inlineStr"/>
      <c r="E20" s="12">
        <f>IF($D20="Correct",1,IF($D20="Needs improvement",0.5,IF($D20="Incorrect",0,"")))</f>
        <v/>
      </c>
      <c r="F20" s="9" t="inlineStr"/>
    </row>
    <row r="21" ht="26" customHeight="1">
      <c r="A21" s="13" t="inlineStr">
        <is>
          <t>Detail</t>
        </is>
      </c>
      <c r="B21" s="14" t="inlineStr">
        <is>
          <t>Experimental conditions / extensions correctness</t>
        </is>
      </c>
      <c r="C21" s="15" t="inlineStr">
        <is>
          <t>— human judgement</t>
        </is>
      </c>
      <c r="D21" s="11" t="inlineStr"/>
      <c r="E21" s="12">
        <f>IF($D21="Correct",1,IF($D21="Needs improvement",0.5,IF($D21="Incorrect",0,"")))</f>
        <v/>
      </c>
      <c r="F21" s="9" t="inlineStr"/>
    </row>
    <row r="22" ht="26" customHeight="1">
      <c r="A22" s="6" t="inlineStr">
        <is>
          <t>Other</t>
        </is>
      </c>
      <c r="B22" s="9" t="inlineStr">
        <is>
          <t>Disease name correctness</t>
        </is>
      </c>
      <c r="C22" s="10" t="inlineStr">
        <is>
          <t>— human judgement</t>
        </is>
      </c>
      <c r="D22" s="11" t="inlineStr"/>
      <c r="E22" s="12">
        <f>IF($D22="Correct",1,IF($D22="Needs improvement",0.5,IF($D22="Incorrect",0,"")))</f>
        <v/>
      </c>
      <c r="F22" s="9" t="inlineStr"/>
    </row>
    <row r="23" ht="26" customHeight="1">
      <c r="A23" s="13" t="inlineStr">
        <is>
          <t>Other</t>
        </is>
      </c>
      <c r="B23" s="14" t="inlineStr">
        <is>
          <t>RNA / expression level correctness</t>
        </is>
      </c>
      <c r="C23" s="15" t="inlineStr">
        <is>
          <t>— human judgement</t>
        </is>
      </c>
      <c r="D23" s="11" t="inlineStr"/>
      <c r="E23" s="12">
        <f>IF($D23="Correct",1,IF($D23="Needs improvement",0.5,IF($D23="Incorrect",0,"")))</f>
        <v/>
      </c>
      <c r="F23" s="9" t="inlineStr"/>
    </row>
    <row r="24" ht="26" customHeight="1">
      <c r="A24" s="6" t="inlineStr">
        <is>
          <t>Scope?</t>
        </is>
      </c>
      <c r="B24" s="9" t="inlineStr">
        <is>
          <t>Physical / molecular interaction correctness</t>
        </is>
      </c>
      <c r="C24" s="10" t="inlineStr">
        <is>
          <t>confirm PHI-Canto scope; human</t>
        </is>
      </c>
      <c r="D24" s="11" t="inlineStr"/>
      <c r="E24" s="12">
        <f>IF($D24="Correct",1,IF($D24="Needs improvement",0.5,IF($D24="Incorrect",0,"")))</f>
        <v/>
      </c>
      <c r="F24" s="9" t="inlineStr"/>
    </row>
    <row r="26">
      <c r="D26" s="16" t="inlineStr">
        <is>
          <t>Applicable items</t>
        </is>
      </c>
      <c r="E26" s="11">
        <f>COUNT(E12:E24)</f>
        <v/>
      </c>
    </row>
    <row r="27">
      <c r="D27" s="16" t="inlineStr">
        <is>
          <t>Points</t>
        </is>
      </c>
      <c r="E27" s="11">
        <f>SUM(E12:E24)</f>
        <v/>
      </c>
    </row>
    <row r="28">
      <c r="D28" s="16" t="inlineStr">
        <is>
          <t>Overall accuracy</t>
        </is>
      </c>
      <c r="E28" s="17">
        <f>IF(E26=0,"",E27/E26)</f>
        <v/>
      </c>
    </row>
    <row r="30">
      <c r="A30" s="18" t="inlineStr">
        <is>
          <t>Completeness</t>
        </is>
      </c>
      <c r="B30" s="27" t="n"/>
      <c r="C30" s="28" t="n"/>
    </row>
    <row r="31">
      <c r="A31" s="5" t="inlineStr">
        <is>
          <t>Curatable items in the paper</t>
        </is>
      </c>
      <c r="B31" s="28" t="n"/>
      <c r="C31" s="12" t="n">
        <v>0</v>
      </c>
    </row>
    <row r="32">
      <c r="A32" s="5" t="inlineStr">
        <is>
          <t>Items captured in the draft</t>
        </is>
      </c>
      <c r="B32" s="28" t="n"/>
      <c r="C32" s="12" t="n">
        <v>0</v>
      </c>
    </row>
    <row r="33">
      <c r="A33" s="5" t="inlineStr">
        <is>
          <t>Items missed</t>
        </is>
      </c>
      <c r="B33" s="28" t="n"/>
      <c r="C33" s="12">
        <f>MAX(0,C31-C32)</f>
        <v/>
      </c>
    </row>
    <row r="34">
      <c r="A34" s="5" t="inlineStr">
        <is>
          <t>Completeness</t>
        </is>
      </c>
      <c r="B34" s="28" t="n"/>
      <c r="C34" s="21">
        <f>IF(C31=0,"",C32/C31)</f>
        <v/>
      </c>
    </row>
  </sheetData>
  <mergeCells count="14">
    <mergeCell ref="B4:F4"/>
    <mergeCell ref="A2:F2"/>
    <mergeCell ref="B7:F7"/>
    <mergeCell ref="B6:F6"/>
    <mergeCell ref="A33:B33"/>
    <mergeCell ref="A1:F1"/>
    <mergeCell ref="B10:F10"/>
    <mergeCell ref="B5:F5"/>
    <mergeCell ref="A32:B32"/>
    <mergeCell ref="A30:C30"/>
    <mergeCell ref="B8:F8"/>
    <mergeCell ref="A31:B31"/>
    <mergeCell ref="B9:F9"/>
    <mergeCell ref="A34:B34"/>
  </mergeCells>
  <conditionalFormatting sqref="D12:D24">
    <cfRule type="cellIs" priority="1" operator="equal" dxfId="0">
      <formula>"Correct"</formula>
    </cfRule>
    <cfRule type="cellIs" priority="2" operator="equal" dxfId="1">
      <formula>"Needs improvement"</formula>
    </cfRule>
    <cfRule type="cellIs" priority="3" operator="equal" dxfId="2">
      <formula>"Incorrect"</formula>
    </cfRule>
    <cfRule type="cellIs" priority="4" operator="equal" dxfId="3">
      <formula>"Not applicable"</formula>
    </cfRule>
  </conditionalFormatting>
  <dataValidations count="1">
    <dataValidation sqref="D12:D24" showDropDown="0" showInputMessage="0" showErrorMessage="0" allowBlank="1" type="list">
      <formula1>"Correct,Needs improvement,Incorrect,Not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6" customWidth="1" min="4" max="4"/>
    <col width="14" customWidth="1" min="5" max="5"/>
    <col width="50" customWidth="1" min="6" max="6"/>
  </cols>
  <sheetData>
    <row r="1" ht="24" customHeight="1">
      <c r="A1" s="22" t="inlineStr">
        <is>
          <t>Benchmark Summary — one row per scored paper</t>
        </is>
      </c>
    </row>
    <row r="3">
      <c r="A3" s="23" t="inlineStr">
        <is>
          <t>PMID</t>
        </is>
      </c>
      <c r="B3" s="23" t="inlineStr">
        <is>
          <t>Date</t>
        </is>
      </c>
      <c r="C3" s="23" t="inlineStr">
        <is>
          <t>Reviewer</t>
        </is>
      </c>
      <c r="D3" s="23" t="inlineStr">
        <is>
          <t>Overall accuracy</t>
        </is>
      </c>
      <c r="E3" s="23" t="inlineStr">
        <is>
          <t>Completeness</t>
        </is>
      </c>
      <c r="F3" s="23" t="inlineStr">
        <is>
          <t>Notes</t>
        </is>
      </c>
    </row>
    <row r="4">
      <c r="A4" s="24" t="n"/>
      <c r="B4" s="24" t="n"/>
      <c r="C4" s="24" t="n"/>
      <c r="D4" s="25" t="n"/>
      <c r="E4" s="25" t="n"/>
      <c r="F4" s="24" t="n"/>
    </row>
    <row r="5">
      <c r="A5" s="7" t="n"/>
      <c r="B5" s="7" t="n"/>
      <c r="C5" s="7" t="n"/>
      <c r="D5" s="26" t="n"/>
      <c r="E5" s="26" t="n"/>
      <c r="F5" s="7" t="n"/>
    </row>
    <row r="6">
      <c r="A6" s="24" t="n"/>
      <c r="B6" s="24" t="n"/>
      <c r="C6" s="24" t="n"/>
      <c r="D6" s="25" t="n"/>
      <c r="E6" s="25" t="n"/>
      <c r="F6" s="24" t="n"/>
    </row>
    <row r="7">
      <c r="A7" s="7" t="n"/>
      <c r="B7" s="7" t="n"/>
      <c r="C7" s="7" t="n"/>
      <c r="D7" s="26" t="n"/>
      <c r="E7" s="26" t="n"/>
      <c r="F7" s="7" t="n"/>
    </row>
    <row r="8">
      <c r="A8" s="24" t="n"/>
      <c r="B8" s="24" t="n"/>
      <c r="C8" s="24" t="n"/>
      <c r="D8" s="25" t="n"/>
      <c r="E8" s="25" t="n"/>
      <c r="F8" s="24" t="n"/>
    </row>
    <row r="9">
      <c r="A9" s="7" t="n"/>
      <c r="B9" s="7" t="n"/>
      <c r="C9" s="7" t="n"/>
      <c r="D9" s="26" t="n"/>
      <c r="E9" s="26" t="n"/>
      <c r="F9" s="7" t="n"/>
    </row>
    <row r="10">
      <c r="A10" s="24" t="n"/>
      <c r="B10" s="24" t="n"/>
      <c r="C10" s="24" t="n"/>
      <c r="D10" s="25" t="n"/>
      <c r="E10" s="25" t="n"/>
      <c r="F10" s="24" t="n"/>
    </row>
    <row r="11">
      <c r="A11" s="7" t="n"/>
      <c r="B11" s="7" t="n"/>
      <c r="C11" s="7" t="n"/>
      <c r="D11" s="26" t="n"/>
      <c r="E11" s="26" t="n"/>
      <c r="F11" s="7" t="n"/>
    </row>
    <row r="12">
      <c r="A12" s="24" t="n"/>
      <c r="B12" s="24" t="n"/>
      <c r="C12" s="24" t="n"/>
      <c r="D12" s="25" t="n"/>
      <c r="E12" s="25" t="n"/>
      <c r="F12" s="24" t="n"/>
    </row>
    <row r="13">
      <c r="A13" s="7" t="n"/>
      <c r="B13" s="7" t="n"/>
      <c r="C13" s="7" t="n"/>
      <c r="D13" s="26" t="n"/>
      <c r="E13" s="26" t="n"/>
      <c r="F13" s="7" t="n"/>
    </row>
    <row r="14">
      <c r="A14" s="24" t="n"/>
      <c r="B14" s="24" t="n"/>
      <c r="C14" s="24" t="n"/>
      <c r="D14" s="25" t="n"/>
      <c r="E14" s="25" t="n"/>
      <c r="F14" s="24" t="n"/>
    </row>
    <row r="15">
      <c r="A15" s="7" t="n"/>
      <c r="B15" s="7" t="n"/>
      <c r="C15" s="7" t="n"/>
      <c r="D15" s="26" t="n"/>
      <c r="E15" s="26" t="n"/>
      <c r="F15" s="7" t="n"/>
    </row>
    <row r="16">
      <c r="A16" s="24" t="n"/>
      <c r="B16" s="24" t="n"/>
      <c r="C16" s="24" t="n"/>
      <c r="D16" s="25" t="n"/>
      <c r="E16" s="25" t="n"/>
      <c r="F16" s="24" t="n"/>
    </row>
    <row r="17">
      <c r="A17" s="7" t="n"/>
      <c r="B17" s="7" t="n"/>
      <c r="C17" s="7" t="n"/>
      <c r="D17" s="26" t="n"/>
      <c r="E17" s="26" t="n"/>
      <c r="F17" s="7" t="n"/>
    </row>
    <row r="18">
      <c r="A18" s="24" t="n"/>
      <c r="B18" s="24" t="n"/>
      <c r="C18" s="24" t="n"/>
      <c r="D18" s="25" t="n"/>
      <c r="E18" s="25" t="n"/>
      <c r="F18" s="24" t="n"/>
    </row>
    <row r="19">
      <c r="A19" s="7" t="n"/>
      <c r="B19" s="7" t="n"/>
      <c r="C19" s="7" t="n"/>
      <c r="D19" s="26" t="n"/>
      <c r="E19" s="26" t="n"/>
      <c r="F19" s="7" t="n"/>
    </row>
    <row r="20">
      <c r="A20" s="24" t="n"/>
      <c r="B20" s="24" t="n"/>
      <c r="C20" s="24" t="n"/>
      <c r="D20" s="25" t="n"/>
      <c r="E20" s="25" t="n"/>
      <c r="F20" s="24" t="n"/>
    </row>
    <row r="21">
      <c r="A21" s="7" t="n"/>
      <c r="B21" s="7" t="n"/>
      <c r="C21" s="7" t="n"/>
      <c r="D21" s="26" t="n"/>
      <c r="E21" s="26" t="n"/>
      <c r="F21" s="7" t="n"/>
    </row>
    <row r="22">
      <c r="A22" s="24" t="n"/>
      <c r="B22" s="24" t="n"/>
      <c r="C22" s="24" t="n"/>
      <c r="D22" s="25" t="n"/>
      <c r="E22" s="25" t="n"/>
      <c r="F22" s="24" t="n"/>
    </row>
    <row r="23">
      <c r="A23" s="7" t="n"/>
      <c r="B23" s="7" t="n"/>
      <c r="C23" s="7" t="n"/>
      <c r="D23" s="26" t="n"/>
      <c r="E23" s="26" t="n"/>
      <c r="F23" s="7" t="n"/>
    </row>
    <row r="24">
      <c r="A24" s="24" t="n"/>
      <c r="B24" s="24" t="n"/>
      <c r="C24" s="24" t="n"/>
      <c r="D24" s="25" t="n"/>
      <c r="E24" s="25" t="n"/>
      <c r="F24" s="24" t="n"/>
    </row>
    <row r="25">
      <c r="A25" s="7" t="n"/>
      <c r="B25" s="7" t="n"/>
      <c r="C25" s="7" t="n"/>
      <c r="D25" s="26" t="n"/>
      <c r="E25" s="26" t="n"/>
      <c r="F25" s="7" t="n"/>
    </row>
    <row r="26">
      <c r="A26" s="24" t="n"/>
      <c r="B26" s="24" t="n"/>
      <c r="C26" s="24" t="n"/>
      <c r="D26" s="25" t="n"/>
      <c r="E26" s="25" t="n"/>
      <c r="F26" s="24" t="n"/>
    </row>
    <row r="27">
      <c r="A27" s="7" t="n"/>
      <c r="B27" s="7" t="n"/>
      <c r="C27" s="7" t="n"/>
      <c r="D27" s="26" t="n"/>
      <c r="E27" s="26" t="n"/>
      <c r="F27" s="7" t="n"/>
    </row>
    <row r="28">
      <c r="A28" s="24" t="n"/>
      <c r="B28" s="24" t="n"/>
      <c r="C28" s="24" t="n"/>
      <c r="D28" s="25" t="n"/>
      <c r="E28" s="25" t="n"/>
      <c r="F28" s="24" t="n"/>
    </row>
    <row r="29">
      <c r="A29" s="7" t="n"/>
      <c r="B29" s="7" t="n"/>
      <c r="C29" s="7" t="n"/>
      <c r="D29" s="26" t="n"/>
      <c r="E29" s="26" t="n"/>
      <c r="F29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2026-07-03T10:15:38Z</dcterms:created>
  <dcterms:modified xsi:type="dcterms:W3CDTF">2026-07-08T15:28:42Z</dcterms:modified>
</cp:coreProperties>
</file>